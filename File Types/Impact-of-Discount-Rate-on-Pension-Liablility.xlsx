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19035" windowHeight="11250"/>
  </bookViews>
  <sheets>
    <sheet name="Pension Liability Calculator" sheetId="2" r:id="rId1"/>
  </sheets>
  <calcPr calcId="145621"/>
</workbook>
</file>

<file path=xl/calcChain.xml><?xml version="1.0" encoding="utf-8"?>
<calcChain xmlns="http://schemas.openxmlformats.org/spreadsheetml/2006/main">
  <c r="D24" i="2" l="1"/>
  <c r="D12" i="2"/>
  <c r="D9" i="2"/>
  <c r="D14" i="2" s="1"/>
  <c r="D19" i="2" s="1"/>
  <c r="D21" i="2" s="1"/>
  <c r="D22" i="2" s="1"/>
  <c r="E24" i="2"/>
  <c r="F24" i="2" s="1"/>
  <c r="G24" i="2" s="1"/>
  <c r="H24" i="2" s="1"/>
  <c r="I24" i="2" s="1"/>
  <c r="E16" i="2"/>
  <c r="F16" i="2"/>
  <c r="G16" i="2"/>
  <c r="H16" i="2"/>
  <c r="I16" i="2"/>
  <c r="C16" i="2"/>
  <c r="E12" i="2"/>
  <c r="F12" i="2" s="1"/>
  <c r="G12" i="2" s="1"/>
  <c r="H12" i="2" s="1"/>
  <c r="I12" i="2" s="1"/>
  <c r="E9" i="2"/>
  <c r="F9" i="2" s="1"/>
  <c r="D26" i="2" l="1"/>
  <c r="D25" i="2"/>
  <c r="G9" i="2"/>
  <c r="H9" i="2" s="1"/>
  <c r="F14" i="2"/>
  <c r="F19" i="2" s="1"/>
  <c r="E14" i="2"/>
  <c r="C14" i="2"/>
  <c r="C19" i="2" s="1"/>
  <c r="G14" i="2" l="1"/>
  <c r="C21" i="2"/>
  <c r="C22" i="2" s="1"/>
  <c r="C26" i="2"/>
  <c r="C25" i="2"/>
  <c r="F21" i="2"/>
  <c r="F22" i="2" s="1"/>
  <c r="F25" i="2"/>
  <c r="F26" i="2"/>
  <c r="I9" i="2"/>
  <c r="I14" i="2" s="1"/>
  <c r="I19" i="2" s="1"/>
  <c r="H14" i="2"/>
  <c r="H19" i="2" s="1"/>
  <c r="G19" i="2"/>
  <c r="E19" i="2"/>
  <c r="H21" i="2" l="1"/>
  <c r="H22" i="2" s="1"/>
  <c r="H25" i="2"/>
  <c r="H26" i="2"/>
  <c r="I21" i="2"/>
  <c r="I22" i="2" s="1"/>
  <c r="I25" i="2"/>
  <c r="I26" i="2"/>
  <c r="E21" i="2"/>
  <c r="E22" i="2" s="1"/>
  <c r="E26" i="2"/>
  <c r="E25" i="2"/>
  <c r="G21" i="2"/>
  <c r="G22" i="2" s="1"/>
  <c r="G26" i="2"/>
  <c r="G25" i="2"/>
</calcChain>
</file>

<file path=xl/comments1.xml><?xml version="1.0" encoding="utf-8"?>
<comments xmlns="http://schemas.openxmlformats.org/spreadsheetml/2006/main">
  <authors>
    <author>Edward Ring</author>
  </authors>
  <commentList>
    <comment ref="F32" authorId="0">
      <text>
        <r>
          <rPr>
            <b/>
            <sz val="8"/>
            <color indexed="81"/>
            <rFont val="Tahoma"/>
            <charset val="1"/>
          </rPr>
          <t>Edward Ring:</t>
        </r>
        <r>
          <rPr>
            <sz val="8"/>
            <color indexed="81"/>
            <rFont val="Tahoma"/>
            <charset val="1"/>
          </rPr>
          <t xml:space="preserve">
http://www.gfoa.org/downloads/GFOA2012Moodyspensionreport.pdf
Adjustments to US State and Local Government Reported Pension Data
page 6
To implement the discount rate adjustment, we propose using a common 13-year duration estimate for all plans. This is a measure of the time-weighted average life of benefit payments. Each plan’s reported actuarial accrued liability (“AAL”) is projected forward for 13 years at the plan’s reported discount rate, and then discounted back at 5.5%. This calculation results in an increase in AAL of roughly 13% for each one percentage point difference between 5.5% and the plan’s discount rate. For example, a plan with a $10 billion reported AAL based on a discount rate of 8% would have an adjusted AAL of $13.56 billion, or 35.6% greater than reported.
We recognize this duration estimate may be higher than warranted for some plans and lower than warranted for others. Each pension plan has a unique benefit structure and demographic profile that affects the time-weighted profile (duration) of future benefit payment liabilities. However, plan durations are not reported, and calculating duration individually for each plan is not feasible. Our proposed 13-year duration is the median calculated from a sample of pension plans whose durations ranged from about 10 to 17 years. Plans with shorter durations usually are closed or have a preponderance of older or retired members.</t>
        </r>
      </text>
    </comment>
    <comment ref="F33" authorId="0">
      <text>
        <r>
          <rPr>
            <b/>
            <sz val="8"/>
            <color indexed="81"/>
            <rFont val="Tahoma"/>
            <family val="2"/>
          </rPr>
          <t>Edward Ring:</t>
        </r>
        <r>
          <rPr>
            <sz val="8"/>
            <color indexed="81"/>
            <rFont val="Tahoma"/>
            <family val="2"/>
          </rPr>
          <t xml:space="preserve">
Reference "PENSION MATH : HOW CALIFORNIA’ S RETIREMENT SPENDING IS SQUEEZING THE STATE BUDGET
http://siepr.stanford.edu/system/files/shared/Nation%20Statewide%20Report%20v081.pdf
Page 13
"Blended 20th Century Fund"
That longer-term perspective suggests strong returns in U.S. equity and income markets, but with a composite rate of 6.0 to 6.5 percent, rather than 7 or 8 percent. This 6.0 to 6.5 percent figure is based on the performance of a hypothetical fund containing 80 percent equity74 and 20 percent income instruments between 1900 and 1999.75 It assumes an equity76 rate based on the 20th-century Dow Jones industrial annual average of 5.3 percent, plus 2 percent in dividends, less 0.5 percent in fees.77 Combined with income instruments with a net rate of return of 4.5 percent, this hypothetical fund would have earned an average annual rate of 6.2 percent.
Page 14
"Low Risk or Treasury Rate" of 4.5%
Of note in Table 7, the “low risk” rate offers an 80 percent chance of meeting or exceeding the 4.5 percent. In short, even that case is not “risk free” given typical public pension asset holdings.</t>
        </r>
      </text>
    </comment>
  </commentList>
</comments>
</file>

<file path=xl/sharedStrings.xml><?xml version="1.0" encoding="utf-8"?>
<sst xmlns="http://schemas.openxmlformats.org/spreadsheetml/2006/main" count="26" uniqueCount="26">
  <si>
    <t>years to discount back to the present</t>
  </si>
  <si>
    <t>Change in Total Pension Liability</t>
  </si>
  <si>
    <t>% increase/(decrease) in Total Pension Liability</t>
  </si>
  <si>
    <t>Definitions:</t>
  </si>
  <si>
    <t>Reported Total Pension Liability = the present value of all future obligations to pay retirees</t>
  </si>
  <si>
    <t>http://www.californiapublicpolicycenter.org/the-impact-of-moodys-proposed-changes-in-analyzing-government-pension-data/</t>
  </si>
  <si>
    <t>References:</t>
  </si>
  <si>
    <t>Questions:</t>
  </si>
  <si>
    <t>Liability Projected Forward = the estimated actual value in future dollars of all future obligations to pay retirees</t>
  </si>
  <si>
    <t>Why is the liability projected 13 years - what is the basis of this?  The MORE years the GREATER the impact of lowering the discount rate</t>
  </si>
  <si>
    <t>http://www.gfoa.org/downloads/GFOA2012Moodyspensionreport.pdf</t>
  </si>
  <si>
    <t>(yellow = input cell, green = result, $ = billions)</t>
  </si>
  <si>
    <t>The Impact of the Discount Rate on the Estimated Pension Liability using Various Durations</t>
  </si>
  <si>
    <t>years to project forward (duration)</t>
  </si>
  <si>
    <t>forward projection interest rate (official rate used by pension funds)</t>
  </si>
  <si>
    <t>discounting back to the present interest rate (various lower-risk rates)</t>
  </si>
  <si>
    <t>Reported Total Pension Assets</t>
  </si>
  <si>
    <t>Surplus / (Deficit)</t>
  </si>
  <si>
    <t>% Funded</t>
  </si>
  <si>
    <t>Reported Total Pension Liability (present value)</t>
  </si>
  <si>
    <t>Liability projected forward (future value)</t>
  </si>
  <si>
    <t>Moody's Adjusted Total Pension Liability (adjusted present value)</t>
  </si>
  <si>
    <t>Official</t>
  </si>
  <si>
    <t>Moody's</t>
  </si>
  <si>
    <t>What are the other choices of discount rate based on?</t>
  </si>
  <si>
    <t>http://siepr.stanford.edu/system/files/shared/Nation%20Statewide%20Report%20v081.pdf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</si>
</sst>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color indexed="81"/>
      <name val="Tahoma"/>
      <charset val="1"/>
    </font>
    <font>
      <b/>
      <sz val="8"/>
      <color indexed="81"/>
      <name val="Tahoma"/>
      <charset val="1"/>
    </font>
    <font>
      <b/>
      <u/>
      <sz val="11"/>
      <color theme="10"/>
      <name val="Calibri"/>
      <family val="2"/>
      <scheme val="minor"/>
    </font>
    <font>
      <sz val="8"/>
      <color indexed="81"/>
      <name val="Tahoma"/>
      <family val="2"/>
    </font>
    <font>
      <b/>
      <sz val="8"/>
      <color indexed="81"/>
      <name val="Tahoma"/>
      <family val="2"/>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9FF33"/>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29">
    <xf numFmtId="0" fontId="0" fillId="0" borderId="0" xfId="0"/>
    <xf numFmtId="164" fontId="2" fillId="0" borderId="0" xfId="1" applyNumberFormat="1" applyFont="1"/>
    <xf numFmtId="0" fontId="2" fillId="0" borderId="0" xfId="0" applyFont="1"/>
    <xf numFmtId="164" fontId="2" fillId="0" borderId="0" xfId="1" applyNumberFormat="1" applyFont="1" applyFill="1"/>
    <xf numFmtId="164" fontId="2" fillId="0" borderId="0" xfId="1" applyNumberFormat="1" applyFont="1" applyFill="1" applyAlignment="1">
      <alignment horizontal="center"/>
    </xf>
    <xf numFmtId="164" fontId="2" fillId="0" borderId="1" xfId="1" applyNumberFormat="1" applyFont="1" applyBorder="1"/>
    <xf numFmtId="164" fontId="2" fillId="0" borderId="1" xfId="1" applyNumberFormat="1" applyFont="1" applyFill="1" applyBorder="1" applyAlignment="1">
      <alignment horizontal="center"/>
    </xf>
    <xf numFmtId="164" fontId="2" fillId="2" borderId="2" xfId="1" applyNumberFormat="1" applyFont="1" applyFill="1" applyBorder="1"/>
    <xf numFmtId="164" fontId="2" fillId="0" borderId="2" xfId="1" applyNumberFormat="1" applyFont="1" applyFill="1" applyBorder="1"/>
    <xf numFmtId="164" fontId="2" fillId="0" borderId="2" xfId="1" applyNumberFormat="1" applyFont="1" applyBorder="1"/>
    <xf numFmtId="164" fontId="2" fillId="2" borderId="0" xfId="1" applyNumberFormat="1" applyFont="1" applyFill="1"/>
    <xf numFmtId="165" fontId="2" fillId="2" borderId="2" xfId="2" applyNumberFormat="1" applyFont="1" applyFill="1" applyBorder="1"/>
    <xf numFmtId="165" fontId="2" fillId="0" borderId="0" xfId="2" applyNumberFormat="1" applyFont="1" applyFill="1"/>
    <xf numFmtId="165" fontId="2" fillId="0" borderId="2" xfId="2" applyNumberFormat="1" applyFont="1" applyFill="1" applyBorder="1"/>
    <xf numFmtId="165" fontId="2" fillId="2" borderId="0" xfId="2" applyNumberFormat="1" applyFont="1" applyFill="1"/>
    <xf numFmtId="9" fontId="2" fillId="0" borderId="2" xfId="2" applyFont="1" applyBorder="1"/>
    <xf numFmtId="9" fontId="2" fillId="0" borderId="0" xfId="2" applyFont="1"/>
    <xf numFmtId="164" fontId="2" fillId="0" borderId="2" xfId="1" applyNumberFormat="1" applyFont="1" applyFill="1" applyBorder="1" applyAlignment="1">
      <alignment horizontal="center"/>
    </xf>
    <xf numFmtId="164" fontId="2" fillId="0" borderId="3" xfId="1" applyNumberFormat="1" applyFont="1" applyBorder="1"/>
    <xf numFmtId="164" fontId="2" fillId="0" borderId="3" xfId="1" applyNumberFormat="1" applyFont="1" applyFill="1" applyBorder="1" applyAlignment="1">
      <alignment horizontal="center"/>
    </xf>
    <xf numFmtId="0" fontId="2" fillId="0" borderId="0" xfId="0" applyFont="1" applyFill="1"/>
    <xf numFmtId="0" fontId="6" fillId="0" borderId="0" xfId="3" applyFont="1"/>
    <xf numFmtId="164" fontId="2" fillId="0" borderId="0" xfId="1" applyNumberFormat="1" applyFont="1" applyAlignment="1">
      <alignment horizontal="center"/>
    </xf>
    <xf numFmtId="0" fontId="2" fillId="0" borderId="0" xfId="0" applyFont="1" applyAlignment="1">
      <alignment horizontal="center"/>
    </xf>
    <xf numFmtId="164" fontId="9" fillId="0" borderId="0" xfId="1" applyNumberFormat="1" applyFont="1"/>
    <xf numFmtId="164" fontId="2" fillId="3" borderId="2" xfId="1" applyNumberFormat="1" applyFont="1" applyFill="1" applyBorder="1"/>
    <xf numFmtId="164" fontId="2" fillId="3" borderId="0" xfId="1" applyNumberFormat="1" applyFont="1" applyFill="1"/>
    <xf numFmtId="9" fontId="2" fillId="3" borderId="2" xfId="2" applyFont="1" applyFill="1" applyBorder="1"/>
    <xf numFmtId="9" fontId="2" fillId="3" borderId="0" xfId="2" applyFont="1" applyFill="1"/>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99FF33"/>
      <color rgb="FFCC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pr.stanford.edu/system/files/shared/Nation%20Statewide%20Report%20v081.pdf" TargetMode="External"/><Relationship Id="rId2" Type="http://schemas.openxmlformats.org/officeDocument/2006/relationships/hyperlink" Target="http://www.gfoa.org/downloads/GFOA2012Moodyspensionreport.pdf" TargetMode="External"/><Relationship Id="rId1" Type="http://schemas.openxmlformats.org/officeDocument/2006/relationships/hyperlink" Target="http://www.californiapublicpolicycenter.org/the-impact-of-moodys-proposed-changes-in-analyzing-government-pension-data/"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K42"/>
  <sheetViews>
    <sheetView tabSelected="1" workbookViewId="0"/>
  </sheetViews>
  <sheetFormatPr defaultRowHeight="15" x14ac:dyDescent="0.25"/>
  <cols>
    <col min="1" max="1" width="9.140625" style="2"/>
    <col min="2" max="2" width="1.7109375" style="2" customWidth="1"/>
    <col min="3" max="9" width="7.7109375" style="2" customWidth="1"/>
    <col min="10" max="10" width="1.7109375" style="2" customWidth="1"/>
    <col min="11" max="16384" width="9.140625" style="2"/>
  </cols>
  <sheetData>
    <row r="3" spans="2:11" ht="18.75" x14ac:dyDescent="0.3">
      <c r="C3" s="24" t="s">
        <v>12</v>
      </c>
      <c r="D3" s="1"/>
      <c r="E3" s="1"/>
      <c r="F3" s="1"/>
      <c r="G3" s="1"/>
      <c r="H3" s="1"/>
      <c r="I3" s="1"/>
      <c r="J3" s="1"/>
      <c r="K3" s="1"/>
    </row>
    <row r="4" spans="2:11" x14ac:dyDescent="0.25">
      <c r="C4" s="1" t="s">
        <v>11</v>
      </c>
      <c r="D4" s="1"/>
      <c r="E4" s="1"/>
      <c r="F4" s="1"/>
      <c r="G4" s="1"/>
      <c r="H4" s="1"/>
      <c r="I4" s="1"/>
      <c r="J4" s="1"/>
      <c r="K4" s="1"/>
    </row>
    <row r="5" spans="2:11" x14ac:dyDescent="0.25">
      <c r="B5" s="1"/>
      <c r="C5" s="1"/>
      <c r="D5" s="1"/>
      <c r="E5" s="3"/>
      <c r="F5" s="1"/>
      <c r="G5" s="1"/>
      <c r="H5" s="1"/>
      <c r="I5" s="1"/>
      <c r="J5" s="1"/>
      <c r="K5" s="1"/>
    </row>
    <row r="6" spans="2:11" x14ac:dyDescent="0.25">
      <c r="C6" s="23">
        <v>1</v>
      </c>
      <c r="D6" s="23">
        <v>2</v>
      </c>
      <c r="E6" s="23">
        <v>3</v>
      </c>
      <c r="F6" s="23">
        <v>4</v>
      </c>
      <c r="G6" s="23">
        <v>5</v>
      </c>
      <c r="H6" s="23">
        <v>6</v>
      </c>
      <c r="I6" s="23">
        <v>7</v>
      </c>
    </row>
    <row r="7" spans="2:11" x14ac:dyDescent="0.25">
      <c r="B7" s="1"/>
      <c r="C7" s="22" t="s">
        <v>22</v>
      </c>
      <c r="D7" s="1"/>
      <c r="E7" s="4" t="s">
        <v>23</v>
      </c>
      <c r="F7" s="1"/>
      <c r="G7" s="1"/>
      <c r="H7" s="1"/>
      <c r="I7" s="1"/>
      <c r="J7" s="1"/>
      <c r="K7" s="1"/>
    </row>
    <row r="8" spans="2:11" x14ac:dyDescent="0.25">
      <c r="B8" s="1"/>
      <c r="C8" s="5"/>
      <c r="D8" s="1"/>
      <c r="E8" s="6"/>
      <c r="F8" s="1"/>
      <c r="G8" s="1"/>
      <c r="H8" s="1"/>
      <c r="I8" s="1"/>
      <c r="J8" s="1"/>
      <c r="K8" s="1"/>
    </row>
    <row r="9" spans="2:11" x14ac:dyDescent="0.25">
      <c r="B9" s="1"/>
      <c r="C9" s="7">
        <v>724.4</v>
      </c>
      <c r="D9" s="3">
        <f>+C9</f>
        <v>724.4</v>
      </c>
      <c r="E9" s="8">
        <f>+C9</f>
        <v>724.4</v>
      </c>
      <c r="F9" s="3">
        <f t="shared" ref="F9:I9" si="0">+E9</f>
        <v>724.4</v>
      </c>
      <c r="G9" s="3">
        <f t="shared" si="0"/>
        <v>724.4</v>
      </c>
      <c r="H9" s="3">
        <f t="shared" si="0"/>
        <v>724.4</v>
      </c>
      <c r="I9" s="3">
        <f t="shared" si="0"/>
        <v>724.4</v>
      </c>
      <c r="J9" s="1"/>
      <c r="K9" s="1" t="s">
        <v>19</v>
      </c>
    </row>
    <row r="10" spans="2:11" x14ac:dyDescent="0.25">
      <c r="B10" s="1"/>
      <c r="C10" s="9"/>
      <c r="D10" s="1"/>
      <c r="E10" s="9"/>
      <c r="F10" s="1"/>
      <c r="G10" s="1"/>
      <c r="H10" s="1"/>
      <c r="I10" s="1"/>
      <c r="J10" s="1"/>
      <c r="K10" s="1"/>
    </row>
    <row r="11" spans="2:11" x14ac:dyDescent="0.25">
      <c r="B11" s="1"/>
      <c r="C11" s="7">
        <v>13</v>
      </c>
      <c r="D11" s="10">
        <v>13</v>
      </c>
      <c r="E11" s="7">
        <v>13</v>
      </c>
      <c r="F11" s="10">
        <v>13</v>
      </c>
      <c r="G11" s="10">
        <v>17</v>
      </c>
      <c r="H11" s="10">
        <v>17</v>
      </c>
      <c r="I11" s="10">
        <v>17</v>
      </c>
      <c r="J11" s="1"/>
      <c r="K11" s="1" t="s">
        <v>13</v>
      </c>
    </row>
    <row r="12" spans="2:11" x14ac:dyDescent="0.25">
      <c r="B12" s="1"/>
      <c r="C12" s="11">
        <v>7.4999999999999997E-2</v>
      </c>
      <c r="D12" s="12">
        <f>+C12</f>
        <v>7.4999999999999997E-2</v>
      </c>
      <c r="E12" s="13">
        <f>+C12</f>
        <v>7.4999999999999997E-2</v>
      </c>
      <c r="F12" s="12">
        <f t="shared" ref="F12:I12" si="1">+E12</f>
        <v>7.4999999999999997E-2</v>
      </c>
      <c r="G12" s="12">
        <f t="shared" si="1"/>
        <v>7.4999999999999997E-2</v>
      </c>
      <c r="H12" s="12">
        <f t="shared" si="1"/>
        <v>7.4999999999999997E-2</v>
      </c>
      <c r="I12" s="12">
        <f t="shared" si="1"/>
        <v>7.4999999999999997E-2</v>
      </c>
      <c r="J12" s="1"/>
      <c r="K12" s="1" t="s">
        <v>14</v>
      </c>
    </row>
    <row r="13" spans="2:11" x14ac:dyDescent="0.25">
      <c r="B13" s="1"/>
      <c r="C13" s="9"/>
      <c r="D13" s="1"/>
      <c r="E13" s="9"/>
      <c r="F13" s="1"/>
      <c r="G13" s="1"/>
      <c r="H13" s="1"/>
      <c r="I13" s="1"/>
      <c r="J13" s="1"/>
      <c r="K13" s="1"/>
    </row>
    <row r="14" spans="2:11" x14ac:dyDescent="0.25">
      <c r="B14" s="1"/>
      <c r="C14" s="9">
        <f>+C9*(1+C12)^C11</f>
        <v>1854.7632271499799</v>
      </c>
      <c r="D14" s="1">
        <f t="shared" ref="D14:I14" si="2">+D9*(1+D12)^D11</f>
        <v>1854.7632271499799</v>
      </c>
      <c r="E14" s="9">
        <f t="shared" si="2"/>
        <v>1854.7632271499799</v>
      </c>
      <c r="F14" s="1">
        <f t="shared" si="2"/>
        <v>1854.7632271499799</v>
      </c>
      <c r="G14" s="1">
        <f t="shared" si="2"/>
        <v>2476.9790530248347</v>
      </c>
      <c r="H14" s="1">
        <f t="shared" si="2"/>
        <v>2476.9790530248347</v>
      </c>
      <c r="I14" s="1">
        <f t="shared" si="2"/>
        <v>2476.9790530248347</v>
      </c>
      <c r="J14" s="1"/>
      <c r="K14" s="1" t="s">
        <v>20</v>
      </c>
    </row>
    <row r="15" spans="2:11" x14ac:dyDescent="0.25">
      <c r="B15" s="1"/>
      <c r="C15" s="9"/>
      <c r="D15" s="1"/>
      <c r="E15" s="9"/>
      <c r="F15" s="1"/>
      <c r="G15" s="1"/>
      <c r="H15" s="1"/>
      <c r="I15" s="1"/>
      <c r="J15" s="1"/>
      <c r="K15" s="1"/>
    </row>
    <row r="16" spans="2:11" x14ac:dyDescent="0.25">
      <c r="B16" s="1"/>
      <c r="C16" s="9">
        <f>+C11</f>
        <v>13</v>
      </c>
      <c r="D16" s="1">
        <v>13</v>
      </c>
      <c r="E16" s="9">
        <f t="shared" ref="E16:I16" si="3">+E11</f>
        <v>13</v>
      </c>
      <c r="F16" s="1">
        <f t="shared" si="3"/>
        <v>13</v>
      </c>
      <c r="G16" s="1">
        <f t="shared" si="3"/>
        <v>17</v>
      </c>
      <c r="H16" s="1">
        <f t="shared" si="3"/>
        <v>17</v>
      </c>
      <c r="I16" s="1">
        <f t="shared" si="3"/>
        <v>17</v>
      </c>
      <c r="J16" s="1"/>
      <c r="K16" s="1" t="s">
        <v>0</v>
      </c>
    </row>
    <row r="17" spans="2:11" x14ac:dyDescent="0.25">
      <c r="B17" s="1"/>
      <c r="C17" s="11">
        <v>7.4999999999999997E-2</v>
      </c>
      <c r="D17" s="14">
        <v>6.2E-2</v>
      </c>
      <c r="E17" s="11">
        <v>5.5E-2</v>
      </c>
      <c r="F17" s="14">
        <v>4.4999999999999998E-2</v>
      </c>
      <c r="G17" s="14">
        <v>6.2E-2</v>
      </c>
      <c r="H17" s="14">
        <v>5.5E-2</v>
      </c>
      <c r="I17" s="14">
        <v>4.4999999999999998E-2</v>
      </c>
      <c r="J17" s="1"/>
      <c r="K17" s="1" t="s">
        <v>15</v>
      </c>
    </row>
    <row r="18" spans="2:11" x14ac:dyDescent="0.25">
      <c r="B18" s="1"/>
      <c r="C18" s="9"/>
      <c r="D18" s="1"/>
      <c r="E18" s="9"/>
      <c r="F18" s="1"/>
      <c r="G18" s="1"/>
      <c r="H18" s="1"/>
      <c r="I18" s="1"/>
      <c r="J18" s="1"/>
      <c r="K18" s="1"/>
    </row>
    <row r="19" spans="2:11" x14ac:dyDescent="0.25">
      <c r="B19" s="1"/>
      <c r="C19" s="8">
        <f>+C14/(1+C17)^C16</f>
        <v>724.4</v>
      </c>
      <c r="D19" s="3">
        <f>+D14/(1+D17)^D16</f>
        <v>848.5349972853038</v>
      </c>
      <c r="E19" s="8">
        <f t="shared" ref="E19:I19" si="4">+E14/(1+E17)^E16</f>
        <v>924.71201738350544</v>
      </c>
      <c r="F19" s="3">
        <f t="shared" si="4"/>
        <v>1046.5902898872409</v>
      </c>
      <c r="G19" s="3">
        <f t="shared" si="4"/>
        <v>890.85197929025389</v>
      </c>
      <c r="H19" s="3">
        <f t="shared" si="4"/>
        <v>996.85162267131818</v>
      </c>
      <c r="I19" s="3">
        <f t="shared" si="4"/>
        <v>1172.0479951337059</v>
      </c>
      <c r="J19" s="1"/>
      <c r="K19" s="1" t="s">
        <v>21</v>
      </c>
    </row>
    <row r="20" spans="2:11" x14ac:dyDescent="0.25">
      <c r="B20" s="1"/>
      <c r="C20" s="8"/>
      <c r="D20" s="3"/>
      <c r="E20" s="8"/>
      <c r="F20" s="3"/>
      <c r="G20" s="3"/>
      <c r="H20" s="3"/>
      <c r="I20" s="3"/>
      <c r="J20" s="1"/>
      <c r="K20" s="1"/>
    </row>
    <row r="21" spans="2:11" x14ac:dyDescent="0.25">
      <c r="B21" s="1"/>
      <c r="C21" s="9">
        <f>+C19-C9</f>
        <v>0</v>
      </c>
      <c r="D21" s="1">
        <f t="shared" ref="D21" si="5">+D19-D9</f>
        <v>124.13499728530383</v>
      </c>
      <c r="E21" s="9">
        <f t="shared" ref="E21:I21" si="6">+E19-E9</f>
        <v>200.31201738350546</v>
      </c>
      <c r="F21" s="1">
        <f t="shared" si="6"/>
        <v>322.19028988724097</v>
      </c>
      <c r="G21" s="1">
        <f t="shared" si="6"/>
        <v>166.45197929025392</v>
      </c>
      <c r="H21" s="1">
        <f t="shared" si="6"/>
        <v>272.4516226713182</v>
      </c>
      <c r="I21" s="1">
        <f t="shared" si="6"/>
        <v>447.64799513370588</v>
      </c>
      <c r="J21" s="1"/>
      <c r="K21" s="1" t="s">
        <v>1</v>
      </c>
    </row>
    <row r="22" spans="2:11" x14ac:dyDescent="0.25">
      <c r="B22" s="1"/>
      <c r="C22" s="15">
        <f>+C21/C9</f>
        <v>0</v>
      </c>
      <c r="D22" s="16">
        <f t="shared" ref="D22:G22" si="7">+D21/D9</f>
        <v>0.17136250315475404</v>
      </c>
      <c r="E22" s="15">
        <f t="shared" si="7"/>
        <v>0.27652128297005174</v>
      </c>
      <c r="F22" s="16">
        <f t="shared" si="7"/>
        <v>0.44476848410717967</v>
      </c>
      <c r="G22" s="16">
        <f t="shared" si="7"/>
        <v>0.22977909896501095</v>
      </c>
      <c r="H22" s="16">
        <f t="shared" ref="H22" si="8">+H21/H9</f>
        <v>0.3761066022519578</v>
      </c>
      <c r="I22" s="16">
        <f t="shared" ref="I22" si="9">+I21/I9</f>
        <v>0.61795692315530903</v>
      </c>
      <c r="J22" s="1"/>
      <c r="K22" s="1" t="s">
        <v>2</v>
      </c>
    </row>
    <row r="23" spans="2:11" x14ac:dyDescent="0.25">
      <c r="B23" s="1"/>
      <c r="C23" s="9"/>
      <c r="D23" s="1"/>
      <c r="E23" s="17"/>
      <c r="F23" s="1"/>
      <c r="G23" s="1"/>
      <c r="H23" s="1"/>
      <c r="I23" s="1"/>
      <c r="J23" s="1"/>
      <c r="K23" s="1"/>
    </row>
    <row r="24" spans="2:11" x14ac:dyDescent="0.25">
      <c r="B24" s="1"/>
      <c r="C24" s="7">
        <v>596.1</v>
      </c>
      <c r="D24" s="3">
        <f>+C24</f>
        <v>596.1</v>
      </c>
      <c r="E24" s="17">
        <f>+C24</f>
        <v>596.1</v>
      </c>
      <c r="F24" s="4">
        <f t="shared" ref="F24:I24" si="10">+E24</f>
        <v>596.1</v>
      </c>
      <c r="G24" s="4">
        <f t="shared" si="10"/>
        <v>596.1</v>
      </c>
      <c r="H24" s="4">
        <f t="shared" si="10"/>
        <v>596.1</v>
      </c>
      <c r="I24" s="4">
        <f t="shared" si="10"/>
        <v>596.1</v>
      </c>
      <c r="J24" s="1"/>
      <c r="K24" s="1" t="s">
        <v>16</v>
      </c>
    </row>
    <row r="25" spans="2:11" x14ac:dyDescent="0.25">
      <c r="B25" s="1"/>
      <c r="C25" s="25">
        <f>+C24-C19</f>
        <v>-128.29999999999995</v>
      </c>
      <c r="D25" s="26">
        <f t="shared" ref="D25:I25" si="11">+D24-D19</f>
        <v>-252.43499728530378</v>
      </c>
      <c r="E25" s="25">
        <f t="shared" si="11"/>
        <v>-328.61201738350542</v>
      </c>
      <c r="F25" s="26">
        <f t="shared" si="11"/>
        <v>-450.49028988724092</v>
      </c>
      <c r="G25" s="26">
        <f t="shared" si="11"/>
        <v>-294.75197929025387</v>
      </c>
      <c r="H25" s="26">
        <f t="shared" si="11"/>
        <v>-400.75162267131816</v>
      </c>
      <c r="I25" s="26">
        <f t="shared" si="11"/>
        <v>-575.94799513370583</v>
      </c>
      <c r="J25" s="1"/>
      <c r="K25" s="1" t="s">
        <v>17</v>
      </c>
    </row>
    <row r="26" spans="2:11" x14ac:dyDescent="0.25">
      <c r="B26" s="1"/>
      <c r="C26" s="27">
        <f>+C24/C19</f>
        <v>0.82288790723357264</v>
      </c>
      <c r="D26" s="28">
        <f>+D24/D19</f>
        <v>0.7025049077611264</v>
      </c>
      <c r="E26" s="27">
        <f>+E24/E19</f>
        <v>0.64463312771329506</v>
      </c>
      <c r="F26" s="28">
        <f>+F24/F19</f>
        <v>0.569563854891319</v>
      </c>
      <c r="G26" s="28">
        <f t="shared" ref="G26:I26" si="12">+G24/G19</f>
        <v>0.66913473153521619</v>
      </c>
      <c r="H26" s="28">
        <f t="shared" si="12"/>
        <v>0.59798267509722058</v>
      </c>
      <c r="I26" s="28">
        <f t="shared" si="12"/>
        <v>0.50859691964406084</v>
      </c>
      <c r="J26" s="1"/>
      <c r="K26" s="1" t="s">
        <v>18</v>
      </c>
    </row>
    <row r="27" spans="2:11" x14ac:dyDescent="0.25">
      <c r="B27" s="1"/>
      <c r="C27" s="18"/>
      <c r="D27" s="1"/>
      <c r="E27" s="19"/>
      <c r="F27" s="1"/>
      <c r="G27" s="1"/>
      <c r="H27" s="1"/>
      <c r="I27" s="1"/>
      <c r="J27" s="1"/>
      <c r="K27" s="1"/>
    </row>
    <row r="28" spans="2:11" x14ac:dyDescent="0.25">
      <c r="B28" s="1"/>
      <c r="C28" s="1"/>
      <c r="D28" s="1"/>
      <c r="E28" s="4"/>
      <c r="F28" s="1"/>
      <c r="G28" s="1"/>
      <c r="H28" s="1"/>
      <c r="I28" s="1"/>
      <c r="J28" s="1"/>
      <c r="K28" s="1"/>
    </row>
    <row r="29" spans="2:11" x14ac:dyDescent="0.25">
      <c r="B29" s="1"/>
      <c r="C29" s="1"/>
      <c r="D29" s="1"/>
      <c r="E29" s="4"/>
      <c r="F29" s="1"/>
      <c r="G29" s="1"/>
      <c r="H29" s="1"/>
      <c r="I29" s="1"/>
      <c r="J29" s="1"/>
      <c r="K29" s="1"/>
    </row>
    <row r="30" spans="2:11" x14ac:dyDescent="0.25">
      <c r="E30" s="20"/>
    </row>
    <row r="31" spans="2:11" x14ac:dyDescent="0.25">
      <c r="F31" s="2" t="s">
        <v>7</v>
      </c>
    </row>
    <row r="32" spans="2:11" x14ac:dyDescent="0.25">
      <c r="F32" s="1" t="s">
        <v>9</v>
      </c>
    </row>
    <row r="33" spans="6:6" x14ac:dyDescent="0.25">
      <c r="F33" s="1" t="s">
        <v>24</v>
      </c>
    </row>
    <row r="35" spans="6:6" x14ac:dyDescent="0.25">
      <c r="F35" s="2" t="s">
        <v>3</v>
      </c>
    </row>
    <row r="36" spans="6:6" x14ac:dyDescent="0.25">
      <c r="F36" s="2" t="s">
        <v>4</v>
      </c>
    </row>
    <row r="37" spans="6:6" x14ac:dyDescent="0.25">
      <c r="F37" s="2" t="s">
        <v>8</v>
      </c>
    </row>
    <row r="39" spans="6:6" x14ac:dyDescent="0.25">
      <c r="F39" s="2" t="s">
        <v>6</v>
      </c>
    </row>
    <row r="40" spans="6:6" x14ac:dyDescent="0.25">
      <c r="F40" s="21" t="s">
        <v>5</v>
      </c>
    </row>
    <row r="41" spans="6:6" x14ac:dyDescent="0.25">
      <c r="F41" s="21" t="s">
        <v>10</v>
      </c>
    </row>
    <row r="42" spans="6:6" x14ac:dyDescent="0.25">
      <c r="F42" s="21" t="s">
        <v>25</v>
      </c>
    </row>
  </sheetData>
  <hyperlinks>
    <hyperlink ref="F40" r:id="rId1"/>
    <hyperlink ref="F41" r:id="rId2"/>
    <hyperlink ref="F42" r:id="rId3"/>
  </hyperlinks>
  <pageMargins left="0.7" right="0.7" top="0.75" bottom="0.75" header="0.3" footer="0.3"/>
  <pageSetup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Pension Liability Calculator</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Ring</dc:creator>
  <cp:lastModifiedBy>Edward Ring</cp:lastModifiedBy>
  <dcterms:created xsi:type="dcterms:W3CDTF">2013-01-05T16:55:20Z</dcterms:created>
  <dcterms:modified xsi:type="dcterms:W3CDTF">2013-02-19T07:29:24Z</dcterms:modified>
</cp:coreProperties>
</file>